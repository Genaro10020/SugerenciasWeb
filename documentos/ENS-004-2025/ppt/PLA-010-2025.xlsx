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cticanteme2\Downloads\"/>
    </mc:Choice>
  </mc:AlternateContent>
  <bookViews>
    <workbookView xWindow="-105" yWindow="-105" windowWidth="19425" windowHeight="10305"/>
  </bookViews>
  <sheets>
    <sheet name="PLA-010-2025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2" l="1"/>
  <c r="M18" i="22"/>
  <c r="L18" i="22"/>
  <c r="K18" i="22"/>
  <c r="J18" i="22"/>
  <c r="I18" i="22"/>
  <c r="I17" i="22"/>
  <c r="J17" i="22" s="1"/>
  <c r="I2" i="22"/>
  <c r="J2" i="22" s="1"/>
  <c r="K2" i="22" s="1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M2" i="22"/>
  <c r="J20" i="22" l="1"/>
  <c r="L17" i="22"/>
  <c r="L2" i="22"/>
  <c r="K17" i="22"/>
</calcChain>
</file>

<file path=xl/sharedStrings.xml><?xml version="1.0" encoding="utf-8"?>
<sst xmlns="http://schemas.openxmlformats.org/spreadsheetml/2006/main" count="40" uniqueCount="19">
  <si>
    <t>Mes-Año</t>
  </si>
  <si>
    <t>Mes</t>
  </si>
  <si>
    <t>Entitlement</t>
  </si>
  <si>
    <t>Meta Calculada</t>
  </si>
  <si>
    <t>Meta Retadora</t>
  </si>
  <si>
    <t>Gasto por Mes</t>
  </si>
  <si>
    <t>Consumo por mes</t>
  </si>
  <si>
    <t>Ahorro</t>
  </si>
  <si>
    <t>Ahorro Proyectado a 12 meses</t>
  </si>
  <si>
    <t>Linea Base 24-25</t>
  </si>
  <si>
    <t>PRODUCCIÓN</t>
  </si>
  <si>
    <t>Fabricación de cortanatas/ producción</t>
  </si>
  <si>
    <t>MES AÑO</t>
  </si>
  <si>
    <t>Tipo</t>
  </si>
  <si>
    <t>Suma de      Ctd.en UME</t>
  </si>
  <si>
    <t>Rejilla Libro</t>
  </si>
  <si>
    <t>PLA-010-2025</t>
  </si>
  <si>
    <t>Desmoldante/ producción</t>
  </si>
  <si>
    <t>Desmoldante consumido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</si>
</sst>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44" fontId="0" fillId="0" borderId="1" xfId="1" applyFont="1" applyBorder="1"/>
    <xf numFmtId="0" fontId="0" fillId="3" borderId="1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10" borderId="1" xfId="0" applyFill="1" applyBorder="1"/>
    <xf numFmtId="44" fontId="0" fillId="7" borderId="1" xfId="0" applyNumberFormat="1" applyFill="1" applyBorder="1"/>
    <xf numFmtId="43" fontId="0" fillId="0" borderId="1" xfId="2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1" fontId="0" fillId="0" borderId="0" xfId="0" applyNumberFormat="1"/>
    <xf numFmtId="43" fontId="0" fillId="0" borderId="0" xfId="2" applyFont="1"/>
    <xf numFmtId="10" fontId="2" fillId="9" borderId="1" xfId="0" applyNumberFormat="1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10" fontId="4" fillId="7" borderId="1" xfId="0" applyNumberFormat="1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17" fontId="0" fillId="0" borderId="0" xfId="0" applyNumberFormat="1"/>
    <xf numFmtId="3" fontId="0" fillId="0" borderId="0" xfId="0" applyNumberFormat="1"/>
    <xf numFmtId="43" fontId="0" fillId="0" borderId="4" xfId="2" applyFont="1" applyFill="1" applyBorder="1" applyAlignment="1">
      <alignment horizontal="center" vertical="center"/>
    </xf>
    <xf numFmtId="43" fontId="0" fillId="0" borderId="1" xfId="2" applyFont="1" applyBorder="1"/>
    <xf numFmtId="0" fontId="0" fillId="0" borderId="1" xfId="3" applyNumberFormat="1" applyFont="1" applyBorder="1" applyAlignment="1">
      <alignment horizontal="center" vertical="center"/>
    </xf>
    <xf numFmtId="43" fontId="0" fillId="5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'PLA-010-2025'!$I$16:$N$16</c:f>
              <c:strCache>
                <c:ptCount val="6"/>
                <c:pt idx="0">
                  <c:v>Linea Base 24-25</c:v>
                </c:pt>
                <c:pt idx="1">
                  <c:v>Entitlement</c:v>
                </c:pt>
                <c:pt idx="2">
                  <c:v>Meta Calculada</c:v>
                </c:pt>
                <c:pt idx="3">
                  <c:v>Meta Retadora</c:v>
                </c:pt>
                <c:pt idx="4">
                  <c:v>may-25</c:v>
                </c:pt>
                <c:pt idx="5">
                  <c:v>jun-25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'PLA-010-2025'!$I$16:$N$16</c:f>
              <c:strCache>
                <c:ptCount val="6"/>
                <c:pt idx="0">
                  <c:v>Linea Base 24-25</c:v>
                </c:pt>
                <c:pt idx="1">
                  <c:v>Entitlement</c:v>
                </c:pt>
                <c:pt idx="2">
                  <c:v>Meta Calculada</c:v>
                </c:pt>
                <c:pt idx="3">
                  <c:v>Meta Retadora</c:v>
                </c:pt>
                <c:pt idx="4">
                  <c:v>may-25</c:v>
                </c:pt>
                <c:pt idx="5">
                  <c:v>jun-25</c:v>
                </c:pt>
              </c:strCache>
            </c:strRef>
          </c:cat>
          <c:val>
            <c:numRef>
              <c:f>'PLA-010-2025'!$I$17:$N$17</c:f>
              <c:numCache>
                <c:formatCode>_(* #,##0.00_);_(* \(#,##0.00\);_(* "-"??_);_(@_)</c:formatCode>
                <c:ptCount val="6"/>
                <c:pt idx="0">
                  <c:v>13.545454545454545</c:v>
                </c:pt>
                <c:pt idx="1">
                  <c:v>12.333333333333334</c:v>
                </c:pt>
                <c:pt idx="2">
                  <c:v>12.515151515151516</c:v>
                </c:pt>
                <c:pt idx="3" formatCode="0">
                  <c:v>12.333333333333334</c:v>
                </c:pt>
                <c:pt idx="4">
                  <c:v>12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8-457E-91D5-DA962E7A70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0782432"/>
        <c:axId val="600781352"/>
      </c:barChart>
      <c:catAx>
        <c:axId val="6007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0781352"/>
        <c:crosses val="autoZero"/>
        <c:auto val="1"/>
        <c:lblAlgn val="ctr"/>
        <c:lblOffset val="100"/>
        <c:noMultiLvlLbl val="0"/>
      </c:catAx>
      <c:valAx>
        <c:axId val="60078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07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15207</xdr:colOff>
      <xdr:row>2</xdr:row>
      <xdr:rowOff>16595</xdr:rowOff>
    </xdr:from>
    <xdr:to>
      <xdr:col>13</xdr:col>
      <xdr:colOff>0</xdr:colOff>
      <xdr:row>12</xdr:row>
      <xdr:rowOff>173424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15B7BF-D7B8-423B-934C-036B1AA2F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43"/>
  <sheetViews>
    <sheetView tabSelected="1" topLeftCell="B1" zoomScale="85" zoomScaleNormal="85" workbookViewId="0">
      <selection activeCell="J20" sqref="J20"/>
    </sheetView>
  </sheetViews>
  <sheetFormatPr baseColWidth="10" defaultRowHeight="14.25"/>
  <cols>
    <col min="2" max="2" width="34.375" bestFit="1" customWidth="1"/>
    <col min="3" max="3" width="19" bestFit="1" customWidth="1"/>
    <col min="4" max="4" width="32.875" bestFit="1" customWidth="1"/>
    <col min="7" max="7" width="10.25" bestFit="1" customWidth="1"/>
    <col min="8" max="8" width="10.25" customWidth="1"/>
    <col min="9" max="13" width="15.625" bestFit="1" customWidth="1"/>
    <col min="14" max="14" width="11.875" bestFit="1" customWidth="1"/>
  </cols>
  <sheetData>
    <row r="1" spans="1:14" ht="60">
      <c r="A1" s="27" t="s">
        <v>16</v>
      </c>
      <c r="B1" s="28"/>
      <c r="C1" s="28"/>
      <c r="D1" s="28"/>
      <c r="F1" s="4" t="s">
        <v>1</v>
      </c>
      <c r="G1" s="13" t="s">
        <v>17</v>
      </c>
      <c r="H1" s="13"/>
      <c r="I1" s="16" t="s">
        <v>9</v>
      </c>
      <c r="J1" s="17" t="s">
        <v>2</v>
      </c>
      <c r="K1" s="18" t="s">
        <v>3</v>
      </c>
      <c r="L1" s="19" t="s">
        <v>4</v>
      </c>
      <c r="M1" s="5">
        <v>45809</v>
      </c>
    </row>
    <row r="2" spans="1:14">
      <c r="A2" s="2" t="s">
        <v>0</v>
      </c>
      <c r="B2" s="2" t="s">
        <v>10</v>
      </c>
      <c r="C2" s="2" t="s">
        <v>18</v>
      </c>
      <c r="D2" s="2" t="s">
        <v>11</v>
      </c>
      <c r="F2" s="20">
        <v>45413</v>
      </c>
      <c r="G2" s="24">
        <v>1400399.7142857143</v>
      </c>
      <c r="H2" s="12">
        <v>14</v>
      </c>
      <c r="I2" s="25">
        <f>AVERAGE(G2:G12)</f>
        <v>1487387.3331762711</v>
      </c>
      <c r="J2" s="25">
        <f>AVERAGEIF(G2:G12,"&gt;"&amp;I2)</f>
        <v>1649957.9353146853</v>
      </c>
      <c r="K2" s="25">
        <f>I2-(0.85*(I2-J2))</f>
        <v>1625572.3449939231</v>
      </c>
      <c r="L2" s="25">
        <f>J2</f>
        <v>1649957.9353146853</v>
      </c>
      <c r="M2" s="12">
        <f>G15</f>
        <v>1590525</v>
      </c>
    </row>
    <row r="3" spans="1:14">
      <c r="A3" s="20">
        <v>45292</v>
      </c>
      <c r="B3" s="21">
        <v>19605596</v>
      </c>
      <c r="C3" s="12">
        <v>14</v>
      </c>
      <c r="D3" s="23">
        <f>B3/C3</f>
        <v>1400399.7142857143</v>
      </c>
      <c r="F3" s="20">
        <v>45444</v>
      </c>
      <c r="G3" s="24">
        <v>1475423.3846153845</v>
      </c>
      <c r="H3" s="12">
        <v>13</v>
      </c>
      <c r="I3" s="15"/>
      <c r="J3" s="15"/>
      <c r="K3" s="15"/>
      <c r="L3" s="15"/>
      <c r="M3" s="15"/>
    </row>
    <row r="4" spans="1:14">
      <c r="A4" s="20">
        <v>45323</v>
      </c>
      <c r="B4" s="21">
        <v>19180504</v>
      </c>
      <c r="C4" s="12">
        <v>13</v>
      </c>
      <c r="D4" s="23">
        <f t="shared" ref="D4:D16" si="0">B4/C4</f>
        <v>1475423.3846153845</v>
      </c>
      <c r="F4" s="20">
        <v>45474</v>
      </c>
      <c r="G4" s="24">
        <v>1617195.923076923</v>
      </c>
      <c r="H4" s="12">
        <v>13</v>
      </c>
    </row>
    <row r="5" spans="1:14">
      <c r="A5" s="20">
        <v>45352</v>
      </c>
      <c r="B5" s="21">
        <v>21023547</v>
      </c>
      <c r="C5" s="12">
        <v>13</v>
      </c>
      <c r="D5" s="23">
        <f t="shared" si="0"/>
        <v>1617195.923076923</v>
      </c>
      <c r="F5" s="20">
        <v>45505</v>
      </c>
      <c r="G5" s="24">
        <v>1710154</v>
      </c>
      <c r="H5" s="12">
        <v>12</v>
      </c>
    </row>
    <row r="6" spans="1:14">
      <c r="A6" s="20">
        <v>45383</v>
      </c>
      <c r="B6" s="21">
        <v>20521848</v>
      </c>
      <c r="C6" s="12">
        <v>12</v>
      </c>
      <c r="D6" s="23">
        <f t="shared" si="0"/>
        <v>1710154</v>
      </c>
      <c r="F6" s="20">
        <v>45536</v>
      </c>
      <c r="G6" s="24">
        <v>1201318.7647058824</v>
      </c>
      <c r="H6" s="12">
        <v>17</v>
      </c>
    </row>
    <row r="7" spans="1:14">
      <c r="A7" s="20">
        <v>45413</v>
      </c>
      <c r="B7" s="21">
        <v>20422419</v>
      </c>
      <c r="C7" s="12">
        <v>17</v>
      </c>
      <c r="D7" s="23">
        <f t="shared" si="0"/>
        <v>1201318.7647058824</v>
      </c>
      <c r="F7" s="20">
        <v>45566</v>
      </c>
      <c r="G7" s="24">
        <v>1419277.6</v>
      </c>
      <c r="H7" s="12">
        <v>15</v>
      </c>
    </row>
    <row r="8" spans="1:14">
      <c r="A8" s="20">
        <v>45444</v>
      </c>
      <c r="B8" s="21">
        <v>21289164</v>
      </c>
      <c r="C8" s="12">
        <v>15</v>
      </c>
      <c r="D8" s="23">
        <f t="shared" si="0"/>
        <v>1419277.6</v>
      </c>
      <c r="F8" s="20">
        <v>45597</v>
      </c>
      <c r="G8" s="24">
        <v>1377408.8666666667</v>
      </c>
      <c r="H8" s="12">
        <v>15</v>
      </c>
    </row>
    <row r="9" spans="1:14">
      <c r="A9" s="20">
        <v>45474</v>
      </c>
      <c r="B9" s="21">
        <v>20661133</v>
      </c>
      <c r="C9" s="12">
        <v>15</v>
      </c>
      <c r="D9" s="23">
        <f t="shared" si="0"/>
        <v>1377408.8666666667</v>
      </c>
      <c r="F9" s="20">
        <v>45627</v>
      </c>
      <c r="G9" s="24">
        <v>1424802.3076923077</v>
      </c>
      <c r="H9" s="12">
        <v>13</v>
      </c>
    </row>
    <row r="10" spans="1:14">
      <c r="A10" s="20">
        <v>45505</v>
      </c>
      <c r="B10" s="21">
        <v>18522430</v>
      </c>
      <c r="C10" s="12">
        <v>13</v>
      </c>
      <c r="D10" s="23">
        <f t="shared" si="0"/>
        <v>1424802.3076923077</v>
      </c>
      <c r="F10" s="20">
        <v>45658</v>
      </c>
      <c r="G10" s="24">
        <v>1462798.2857142857</v>
      </c>
      <c r="H10" s="12">
        <v>14</v>
      </c>
    </row>
    <row r="11" spans="1:14">
      <c r="A11" s="20">
        <v>45536</v>
      </c>
      <c r="B11" s="21">
        <v>20479176</v>
      </c>
      <c r="C11" s="12">
        <v>14</v>
      </c>
      <c r="D11" s="23">
        <f t="shared" si="0"/>
        <v>1462798.2857142857</v>
      </c>
      <c r="F11" s="20">
        <v>45689</v>
      </c>
      <c r="G11" s="24">
        <v>1555800</v>
      </c>
      <c r="H11" s="12">
        <v>12</v>
      </c>
    </row>
    <row r="12" spans="1:14">
      <c r="A12" s="20">
        <v>45566</v>
      </c>
      <c r="B12" s="21">
        <v>18669600</v>
      </c>
      <c r="C12" s="12">
        <v>12</v>
      </c>
      <c r="D12" s="23">
        <f t="shared" si="0"/>
        <v>1555800</v>
      </c>
      <c r="F12" s="20">
        <v>45717</v>
      </c>
      <c r="G12" s="24">
        <v>1716681.8181818181</v>
      </c>
      <c r="H12" s="12">
        <v>11</v>
      </c>
    </row>
    <row r="13" spans="1:14">
      <c r="A13" s="20">
        <v>45597</v>
      </c>
      <c r="B13" s="21">
        <v>18883500</v>
      </c>
      <c r="C13" s="12">
        <v>11</v>
      </c>
      <c r="D13" s="23">
        <f t="shared" si="0"/>
        <v>1716681.8181818181</v>
      </c>
      <c r="F13" s="20">
        <v>45748</v>
      </c>
      <c r="G13" s="24">
        <v>1476505.142857143</v>
      </c>
      <c r="H13" s="12">
        <v>14</v>
      </c>
    </row>
    <row r="14" spans="1:14">
      <c r="A14" s="20">
        <v>45748</v>
      </c>
      <c r="B14" s="21">
        <v>20671072</v>
      </c>
      <c r="C14" s="12">
        <v>14</v>
      </c>
      <c r="D14" s="23">
        <f t="shared" si="0"/>
        <v>1476505.142857143</v>
      </c>
      <c r="F14" s="20">
        <v>45778</v>
      </c>
      <c r="G14">
        <v>1537391.6666666667</v>
      </c>
      <c r="H14" s="12">
        <v>12</v>
      </c>
    </row>
    <row r="15" spans="1:14">
      <c r="A15" s="20">
        <v>45778</v>
      </c>
      <c r="B15" s="21">
        <v>18448700</v>
      </c>
      <c r="C15" s="12">
        <v>12</v>
      </c>
      <c r="D15" s="23">
        <f t="shared" si="0"/>
        <v>1537391.6666666667</v>
      </c>
      <c r="F15" s="20">
        <v>45809</v>
      </c>
      <c r="G15">
        <v>1590525</v>
      </c>
      <c r="H15" s="22">
        <v>8</v>
      </c>
    </row>
    <row r="16" spans="1:14" ht="15">
      <c r="A16" s="20">
        <v>45809</v>
      </c>
      <c r="B16" s="21">
        <v>12724200</v>
      </c>
      <c r="C16" s="22">
        <v>8</v>
      </c>
      <c r="D16" s="23">
        <f t="shared" si="0"/>
        <v>1590525</v>
      </c>
      <c r="I16" s="6" t="s">
        <v>9</v>
      </c>
      <c r="J16" s="7" t="s">
        <v>2</v>
      </c>
      <c r="K16" s="8" t="s">
        <v>3</v>
      </c>
      <c r="L16" s="9" t="s">
        <v>4</v>
      </c>
      <c r="M16" s="3">
        <v>45778</v>
      </c>
      <c r="N16" s="3">
        <v>45809</v>
      </c>
    </row>
    <row r="17" spans="2:14">
      <c r="F17" s="29" t="s">
        <v>6</v>
      </c>
      <c r="G17" s="30"/>
      <c r="H17" s="30"/>
      <c r="I17" s="15">
        <f>AVERAGE(H2:H12)</f>
        <v>13.545454545454545</v>
      </c>
      <c r="J17" s="15">
        <f>AVERAGEIF(H2:H12,"&lt;"&amp;I17)</f>
        <v>12.333333333333334</v>
      </c>
      <c r="K17" s="15">
        <f>I17-(0.85*(I17-J17))</f>
        <v>12.515151515151516</v>
      </c>
      <c r="L17" s="14">
        <f>J17</f>
        <v>12.333333333333334</v>
      </c>
      <c r="M17" s="12">
        <v>12</v>
      </c>
      <c r="N17" s="12">
        <v>8</v>
      </c>
    </row>
    <row r="18" spans="2:14">
      <c r="F18" s="31" t="s">
        <v>5</v>
      </c>
      <c r="G18" s="32"/>
      <c r="H18" s="33"/>
      <c r="I18" s="1">
        <f>I17*2349</f>
        <v>31818.272727272728</v>
      </c>
      <c r="J18" s="1">
        <f>J17*2349</f>
        <v>28971</v>
      </c>
      <c r="K18" s="1">
        <f>K17*2349</f>
        <v>29398.090909090912</v>
      </c>
      <c r="L18" s="1">
        <f>L17*2349</f>
        <v>28971</v>
      </c>
      <c r="M18" s="1">
        <f>(I17-M17)*2349</f>
        <v>3630.2727272727261</v>
      </c>
      <c r="N18" s="1">
        <f>(I17-N17)*2349</f>
        <v>13026.272727272726</v>
      </c>
    </row>
    <row r="19" spans="2:14">
      <c r="F19" s="31" t="s">
        <v>7</v>
      </c>
      <c r="G19" s="32"/>
      <c r="H19" s="33"/>
      <c r="I19" s="10"/>
      <c r="J19" s="10"/>
      <c r="K19" s="10"/>
      <c r="L19" s="10"/>
      <c r="M19" s="10"/>
      <c r="N19" s="10"/>
    </row>
    <row r="20" spans="2:14">
      <c r="F20" s="26" t="s">
        <v>8</v>
      </c>
      <c r="G20" s="26"/>
      <c r="H20" s="26"/>
      <c r="I20" s="26"/>
      <c r="J20" s="11">
        <f>AVERAGE(M18:N18)*12</f>
        <v>99939.272727272706</v>
      </c>
    </row>
    <row r="25" spans="2:14">
      <c r="B25" t="s">
        <v>12</v>
      </c>
      <c r="C25" t="s">
        <v>13</v>
      </c>
      <c r="D25" t="s">
        <v>14</v>
      </c>
    </row>
    <row r="26" spans="2:14">
      <c r="B26" s="20">
        <v>45292</v>
      </c>
      <c r="C26" t="s">
        <v>15</v>
      </c>
      <c r="D26" s="21">
        <v>21165046</v>
      </c>
    </row>
    <row r="27" spans="2:14">
      <c r="B27" s="20">
        <v>45323</v>
      </c>
      <c r="C27" t="s">
        <v>15</v>
      </c>
      <c r="D27" s="21">
        <v>19977237</v>
      </c>
    </row>
    <row r="28" spans="2:14">
      <c r="B28" s="20">
        <v>45352</v>
      </c>
      <c r="C28" t="s">
        <v>15</v>
      </c>
      <c r="D28" s="21">
        <v>20724840</v>
      </c>
    </row>
    <row r="29" spans="2:14">
      <c r="B29" s="20">
        <v>45383</v>
      </c>
      <c r="C29" t="s">
        <v>15</v>
      </c>
      <c r="D29" s="21">
        <v>21690076</v>
      </c>
    </row>
    <row r="30" spans="2:14">
      <c r="B30" s="20">
        <v>45413</v>
      </c>
      <c r="C30" t="s">
        <v>15</v>
      </c>
      <c r="D30" s="21">
        <v>19605596</v>
      </c>
    </row>
    <row r="31" spans="2:14">
      <c r="B31" s="20">
        <v>45444</v>
      </c>
      <c r="C31" t="s">
        <v>15</v>
      </c>
      <c r="D31" s="21">
        <v>19180504</v>
      </c>
    </row>
    <row r="32" spans="2:14">
      <c r="B32" s="20">
        <v>45474</v>
      </c>
      <c r="C32" t="s">
        <v>15</v>
      </c>
      <c r="D32" s="21">
        <v>21023547</v>
      </c>
    </row>
    <row r="33" spans="2:4">
      <c r="B33" s="20">
        <v>45505</v>
      </c>
      <c r="C33" t="s">
        <v>15</v>
      </c>
      <c r="D33" s="21">
        <v>20521848</v>
      </c>
    </row>
    <row r="34" spans="2:4">
      <c r="B34" s="20">
        <v>45536</v>
      </c>
      <c r="C34" t="s">
        <v>15</v>
      </c>
      <c r="D34" s="21">
        <v>20422419</v>
      </c>
    </row>
    <row r="35" spans="2:4">
      <c r="B35" s="20">
        <v>45566</v>
      </c>
      <c r="C35" t="s">
        <v>15</v>
      </c>
      <c r="D35" s="21">
        <v>21289164</v>
      </c>
    </row>
    <row r="36" spans="2:4">
      <c r="B36" s="20">
        <v>45597</v>
      </c>
      <c r="C36" t="s">
        <v>15</v>
      </c>
      <c r="D36" s="21">
        <v>20661133</v>
      </c>
    </row>
    <row r="37" spans="2:4">
      <c r="B37" s="20">
        <v>45627</v>
      </c>
      <c r="C37" t="s">
        <v>15</v>
      </c>
      <c r="D37" s="21">
        <v>18522430</v>
      </c>
    </row>
    <row r="38" spans="2:4">
      <c r="B38" s="20">
        <v>45658</v>
      </c>
      <c r="C38" t="s">
        <v>15</v>
      </c>
      <c r="D38" s="21">
        <v>20479176</v>
      </c>
    </row>
    <row r="39" spans="2:4">
      <c r="B39" s="20">
        <v>45689</v>
      </c>
      <c r="C39" t="s">
        <v>15</v>
      </c>
      <c r="D39" s="21">
        <v>18669600</v>
      </c>
    </row>
    <row r="40" spans="2:4">
      <c r="B40" s="20">
        <v>45717</v>
      </c>
      <c r="C40" t="s">
        <v>15</v>
      </c>
      <c r="D40" s="21">
        <v>18883500</v>
      </c>
    </row>
    <row r="41" spans="2:4">
      <c r="B41" s="20">
        <v>45748</v>
      </c>
      <c r="C41" t="s">
        <v>15</v>
      </c>
      <c r="D41" s="21">
        <v>20671072</v>
      </c>
    </row>
    <row r="42" spans="2:4">
      <c r="B42" s="20">
        <v>45778</v>
      </c>
      <c r="C42" t="s">
        <v>15</v>
      </c>
      <c r="D42" s="21">
        <v>18448700</v>
      </c>
    </row>
    <row r="43" spans="2:4">
      <c r="B43" s="20">
        <v>45809</v>
      </c>
      <c r="C43" t="s">
        <v>15</v>
      </c>
      <c r="D43" s="21">
        <v>12724200</v>
      </c>
    </row>
  </sheetData>
  <mergeCells count="5">
    <mergeCell ref="A1:D1"/>
    <mergeCell ref="F17:H17"/>
    <mergeCell ref="F18:H18"/>
    <mergeCell ref="F19:H19"/>
    <mergeCell ref="F20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PLA-010-2025</vt:lpstr>
    </vt:vector>
  </TitlesOfParts>
  <Company>Enerya 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Castelar Bernal</dc:creator>
  <cp:lastModifiedBy>Brenda Anahi Lopez Rivera</cp:lastModifiedBy>
  <dcterms:created xsi:type="dcterms:W3CDTF">2025-02-18T01:10:44Z</dcterms:created>
  <dcterms:modified xsi:type="dcterms:W3CDTF">2025-07-02T14:26:27Z</dcterms:modified>
</cp:coreProperties>
</file>